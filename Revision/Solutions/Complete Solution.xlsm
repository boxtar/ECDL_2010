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/>
  <bookViews>
    <workbookView xWindow="600" yWindow="225" windowWidth="11055" windowHeight="6300"/>
  </bookViews>
  <sheets>
    <sheet name="Results" sheetId="1" r:id="rId1"/>
    <sheet name="Calculator" sheetId="2" r:id="rId2"/>
  </sheets>
  <definedNames>
    <definedName name="Height">Calculator!$C$3</definedName>
    <definedName name="Large">Results!$B$12</definedName>
    <definedName name="Medium">Results!$B$11</definedName>
    <definedName name="Radius">Calculator!$C$2</definedName>
    <definedName name="Small">Results!$B$10</definedName>
  </definedNames>
  <calcPr calcId="125725"/>
</workbook>
</file>

<file path=xl/calcChain.xml><?xml version="1.0" encoding="utf-8"?>
<calcChain xmlns="http://schemas.openxmlformats.org/spreadsheetml/2006/main">
  <c r="B6" i="2"/>
  <c r="F3" i="1"/>
  <c r="F4"/>
  <c r="F5"/>
  <c r="G8"/>
  <c r="G3"/>
  <c r="G4"/>
  <c r="G5"/>
  <c r="G6"/>
  <c r="B6"/>
  <c r="D6"/>
  <c r="E6"/>
  <c r="F6"/>
</calcChain>
</file>

<file path=xl/sharedStrings.xml><?xml version="1.0" encoding="utf-8"?>
<sst xmlns="http://schemas.openxmlformats.org/spreadsheetml/2006/main" count="25" uniqueCount="18">
  <si>
    <t>The South West Storage Tank Company</t>
  </si>
  <si>
    <t>Standard Units Sold</t>
  </si>
  <si>
    <t>Quarter 1</t>
  </si>
  <si>
    <t>Quarter 2</t>
  </si>
  <si>
    <t>Quarter 3</t>
  </si>
  <si>
    <t>Quarter 4</t>
  </si>
  <si>
    <t>Year</t>
  </si>
  <si>
    <t>Margin</t>
  </si>
  <si>
    <t>Small Tanks</t>
  </si>
  <si>
    <t>Medium Tanks</t>
  </si>
  <si>
    <t>Large Tanks</t>
  </si>
  <si>
    <t>Total</t>
  </si>
  <si>
    <t>Storage Tank Volume Calculator</t>
  </si>
  <si>
    <t>Tank Radius</t>
  </si>
  <si>
    <t>metres</t>
  </si>
  <si>
    <t>Tank Height</t>
  </si>
  <si>
    <t>VOLUME Cubic Metres</t>
  </si>
  <si>
    <t>Check</t>
  </si>
</sst>
</file>

<file path=xl/styles.xml><?xml version="1.0" encoding="utf-8"?>
<styleSheet xmlns="http://schemas.openxmlformats.org/spreadsheetml/2006/main">
  <numFmts count="1">
    <numFmt numFmtId="164" formatCode="&quot;£&quot;#,##0"/>
  </numFmts>
  <fonts count="7">
    <font>
      <sz val="10"/>
      <name val="Arial"/>
    </font>
    <font>
      <sz val="16"/>
      <name val="Arial"/>
      <family val="2"/>
    </font>
    <font>
      <b/>
      <sz val="12"/>
      <name val="Arial"/>
      <family val="2"/>
    </font>
    <font>
      <sz val="10"/>
      <color indexed="18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b/>
      <i/>
      <sz val="9"/>
      <color indexed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18"/>
        <bgColor indexed="24"/>
      </patternFill>
    </fill>
    <fill>
      <patternFill patternType="solid">
        <fgColor indexed="9"/>
        <bgColor indexed="2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NumberFormat="1" applyFont="1" applyFill="1" applyBorder="1" applyAlignment="1"/>
    <xf numFmtId="0" fontId="0" fillId="2" borderId="0" xfId="0" applyFill="1" applyAlignment="1">
      <alignment wrapText="1"/>
    </xf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0" applyNumberFormat="1" applyFont="1" applyFill="1" applyBorder="1" applyAlignment="1"/>
    <xf numFmtId="164" fontId="0" fillId="0" borderId="0" xfId="0" applyNumberFormat="1"/>
    <xf numFmtId="11" fontId="0" fillId="0" borderId="0" xfId="0" applyNumberFormat="1"/>
    <xf numFmtId="2" fontId="0" fillId="0" borderId="0" xfId="0" applyNumberFormat="1"/>
    <xf numFmtId="0" fontId="3" fillId="3" borderId="0" xfId="0" applyNumberFormat="1" applyFont="1" applyFill="1" applyBorder="1" applyAlignment="1"/>
    <xf numFmtId="0" fontId="5" fillId="3" borderId="0" xfId="0" applyNumberFormat="1" applyFont="1" applyFill="1" applyBorder="1" applyAlignment="1">
      <alignment horizontal="left"/>
    </xf>
    <xf numFmtId="164" fontId="3" fillId="3" borderId="0" xfId="0" applyNumberFormat="1" applyFont="1" applyFill="1" applyBorder="1" applyAlignment="1"/>
    <xf numFmtId="0" fontId="4" fillId="4" borderId="1" xfId="0" applyNumberFormat="1" applyFont="1" applyFill="1" applyBorder="1" applyAlignment="1">
      <alignment horizontal="left" wrapText="1"/>
    </xf>
    <xf numFmtId="0" fontId="6" fillId="4" borderId="1" xfId="0" applyNumberFormat="1" applyFont="1" applyFill="1" applyBorder="1" applyAlignment="1">
      <alignment horizontal="right"/>
    </xf>
    <xf numFmtId="0" fontId="5" fillId="5" borderId="2" xfId="0" applyNumberFormat="1" applyFont="1" applyFill="1" applyBorder="1" applyAlignment="1">
      <alignment horizontal="left"/>
    </xf>
    <xf numFmtId="0" fontId="3" fillId="5" borderId="2" xfId="0" applyNumberFormat="1" applyFont="1" applyFill="1" applyBorder="1" applyAlignment="1"/>
    <xf numFmtId="164" fontId="3" fillId="5" borderId="2" xfId="0" applyNumberFormat="1" applyFont="1" applyFill="1" applyBorder="1" applyAlignment="1"/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13">
    <dxf>
      <font>
        <b val="0"/>
        <i/>
        <condense val="0"/>
        <extend val="0"/>
        <color indexed="17"/>
      </font>
    </dxf>
    <dxf>
      <font>
        <b/>
        <i/>
        <condense val="0"/>
        <extend val="0"/>
        <color indexed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8"/>
        <name val="Arial"/>
        <scheme val="none"/>
      </font>
      <numFmt numFmtId="164" formatCode="&quot;£&quot;#,##0"/>
      <fill>
        <patternFill patternType="solid">
          <fgColor indexed="24"/>
          <bgColor indexed="22"/>
        </patternFill>
      </fill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8"/>
        <name val="Arial"/>
        <scheme val="none"/>
      </font>
      <numFmt numFmtId="0" formatCode="General"/>
      <fill>
        <patternFill patternType="solid">
          <fgColor indexed="24"/>
          <bgColor indexed="22"/>
        </patternFill>
      </fill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8"/>
        <name val="Arial"/>
        <scheme val="none"/>
      </font>
      <numFmt numFmtId="0" formatCode="General"/>
      <fill>
        <patternFill patternType="solid">
          <fgColor indexed="24"/>
          <bgColor indexed="22"/>
        </patternFill>
      </fill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8"/>
        <name val="Arial"/>
        <scheme val="none"/>
      </font>
      <numFmt numFmtId="0" formatCode="General"/>
      <fill>
        <patternFill patternType="solid">
          <fgColor indexed="24"/>
          <bgColor indexed="22"/>
        </patternFill>
      </fill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8"/>
        <name val="Arial"/>
        <scheme val="none"/>
      </font>
      <numFmt numFmtId="0" formatCode="General"/>
      <fill>
        <patternFill patternType="solid">
          <fgColor indexed="24"/>
          <bgColor indexed="22"/>
        </patternFill>
      </fill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8"/>
        <name val="Arial"/>
        <scheme val="none"/>
      </font>
      <numFmt numFmtId="0" formatCode="General"/>
      <fill>
        <patternFill patternType="solid">
          <fgColor indexed="24"/>
          <bgColor indexed="22"/>
        </patternFill>
      </fill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24"/>
          <bgColor indexed="22"/>
        </patternFill>
      </fill>
      <alignment horizontal="left" vertical="bottom" textRotation="0" wrapText="0" indent="0" relativeIndent="0" justifyLastLine="0" shrinkToFit="0" mergeCell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8"/>
        <name val="Arial"/>
        <scheme val="none"/>
      </font>
      <fill>
        <patternFill patternType="solid">
          <fgColor indexed="24"/>
          <bgColor indexed="22"/>
        </patternFill>
      </fill>
      <alignment horizontal="general" vertical="bottom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indexed="9"/>
        <name val="Arial"/>
        <scheme val="none"/>
      </font>
      <numFmt numFmtId="0" formatCode="General"/>
      <fill>
        <patternFill patternType="solid">
          <fgColor indexed="24"/>
          <bgColor indexed="18"/>
        </patternFill>
      </fill>
      <alignment horizontal="right" vertical="bottom" textRotation="0" wrapText="0" indent="0" relativeIndent="0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Margin by Tank Size</a:t>
            </a:r>
          </a:p>
        </c:rich>
      </c:tx>
      <c:layout>
        <c:manualLayout>
          <c:xMode val="edge"/>
          <c:yMode val="edge"/>
          <c:x val="0.28983050847457631"/>
          <c:y val="3.200008333355034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084745762711874"/>
          <c:y val="0.23466727777936924"/>
          <c:w val="0.8254237288135593"/>
          <c:h val="0.62400162500423173"/>
        </c:manualLayout>
      </c:layout>
      <c:barChart>
        <c:barDir val="col"/>
        <c:grouping val="clustered"/>
        <c:ser>
          <c:idx val="0"/>
          <c:order val="0"/>
          <c:spPr>
            <a:blipFill dpi="0" rotWithShape="0">
              <a:blip xmlns:r="http://schemas.openxmlformats.org/officeDocument/2006/relationships" r:embed="rId1"/>
              <a:srcRect/>
              <a:stretch>
                <a:fillRect/>
              </a:stretch>
            </a:blipFill>
            <a:ln w="25400">
              <a:noFill/>
            </a:ln>
          </c:spPr>
          <c:pictureOptions>
            <c:pictureFormat val="stack"/>
          </c:pictureOptions>
          <c:cat>
            <c:strRef>
              <c:f>Results!$A$10:$A$12</c:f>
              <c:strCache>
                <c:ptCount val="3"/>
                <c:pt idx="0">
                  <c:v>Small Tanks</c:v>
                </c:pt>
                <c:pt idx="1">
                  <c:v>Medium Tanks</c:v>
                </c:pt>
                <c:pt idx="2">
                  <c:v>Large Tanks</c:v>
                </c:pt>
              </c:strCache>
            </c:strRef>
          </c:cat>
          <c:val>
            <c:numRef>
              <c:f>Results!$G$3:$G$5</c:f>
              <c:numCache>
                <c:formatCode>"£"#,##0</c:formatCode>
                <c:ptCount val="3"/>
                <c:pt idx="0">
                  <c:v>204400</c:v>
                </c:pt>
                <c:pt idx="1">
                  <c:v>170000</c:v>
                </c:pt>
                <c:pt idx="2">
                  <c:v>109500</c:v>
                </c:pt>
              </c:numCache>
            </c:numRef>
          </c:val>
        </c:ser>
        <c:axId val="62604416"/>
        <c:axId val="62605952"/>
      </c:barChart>
      <c:catAx>
        <c:axId val="6260441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605952"/>
        <c:crosses val="autoZero"/>
        <c:auto val="1"/>
        <c:lblAlgn val="ctr"/>
        <c:lblOffset val="100"/>
        <c:tickLblSkip val="1"/>
        <c:tickMarkSkip val="1"/>
      </c:catAx>
      <c:valAx>
        <c:axId val="6260595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£&quot;#,##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6044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14</xdr:row>
      <xdr:rowOff>9525</xdr:rowOff>
    </xdr:from>
    <xdr:to>
      <xdr:col>5</xdr:col>
      <xdr:colOff>542925</xdr:colOff>
      <xdr:row>36</xdr:row>
      <xdr:rowOff>19050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G6" totalsRowShown="0" headerRowDxfId="12" dataDxfId="10" headerRowBorderDxfId="11" tableBorderDxfId="9">
  <autoFilter ref="A2:G6"/>
  <tableColumns count="7">
    <tableColumn id="1" name="Standard Units Sold" dataDxfId="8"/>
    <tableColumn id="2" name="Quarter 1" dataDxfId="7"/>
    <tableColumn id="3" name="Quarter 2" dataDxfId="6"/>
    <tableColumn id="4" name="Quarter 3" dataDxfId="5"/>
    <tableColumn id="5" name="Quarter 4" dataDxfId="4"/>
    <tableColumn id="6" name="Year" dataDxfId="3">
      <calculatedColumnFormula>SUM(B3:E3)</calculatedColumnFormula>
    </tableColumn>
    <tableColumn id="7" name="Margin" dataDxfId="2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H12"/>
  <sheetViews>
    <sheetView tabSelected="1" workbookViewId="0">
      <selection sqref="A1:H1"/>
    </sheetView>
  </sheetViews>
  <sheetFormatPr defaultRowHeight="12.75"/>
  <cols>
    <col min="1" max="1" width="23.28515625" customWidth="1"/>
    <col min="2" max="5" width="11.140625" customWidth="1"/>
    <col min="6" max="7" width="10.85546875" customWidth="1"/>
  </cols>
  <sheetData>
    <row r="1" spans="1:8" ht="20.25">
      <c r="A1" s="17" t="s">
        <v>0</v>
      </c>
      <c r="B1" s="17"/>
      <c r="C1" s="17"/>
      <c r="D1" s="17"/>
      <c r="E1" s="17"/>
      <c r="F1" s="17"/>
      <c r="G1" s="17"/>
      <c r="H1" s="17"/>
    </row>
    <row r="2" spans="1:8" ht="15">
      <c r="A2" s="12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3" t="s">
        <v>7</v>
      </c>
    </row>
    <row r="3" spans="1:8">
      <c r="A3" s="10" t="s">
        <v>8</v>
      </c>
      <c r="B3" s="9">
        <v>450</v>
      </c>
      <c r="C3" s="9">
        <v>510</v>
      </c>
      <c r="D3" s="9">
        <v>520</v>
      </c>
      <c r="E3" s="9">
        <v>564</v>
      </c>
      <c r="F3" s="9">
        <f>SUM(B3:E3)</f>
        <v>2044</v>
      </c>
      <c r="G3" s="11">
        <f>F3*Small</f>
        <v>204400</v>
      </c>
    </row>
    <row r="4" spans="1:8">
      <c r="A4" s="10" t="s">
        <v>9</v>
      </c>
      <c r="B4" s="9">
        <v>200</v>
      </c>
      <c r="C4" s="9">
        <v>220</v>
      </c>
      <c r="D4" s="9">
        <v>205</v>
      </c>
      <c r="E4" s="9">
        <v>225</v>
      </c>
      <c r="F4" s="9">
        <f>SUM(B4:E4)</f>
        <v>850</v>
      </c>
      <c r="G4" s="11">
        <f>F4*Medium</f>
        <v>170000</v>
      </c>
    </row>
    <row r="5" spans="1:8" ht="13.5" thickBot="1">
      <c r="A5" s="10" t="s">
        <v>10</v>
      </c>
      <c r="B5" s="9">
        <v>80</v>
      </c>
      <c r="C5" s="9">
        <v>92</v>
      </c>
      <c r="D5" s="9">
        <v>96</v>
      </c>
      <c r="E5" s="9">
        <v>97</v>
      </c>
      <c r="F5" s="9">
        <f>SUM(B5:E5)</f>
        <v>365</v>
      </c>
      <c r="G5" s="11">
        <f>F5*Large</f>
        <v>109500</v>
      </c>
    </row>
    <row r="6" spans="1:8">
      <c r="A6" s="14" t="s">
        <v>11</v>
      </c>
      <c r="B6" s="15">
        <f>SUM(B3:B5)</f>
        <v>730</v>
      </c>
      <c r="C6" s="15">
        <v>822</v>
      </c>
      <c r="D6" s="15">
        <f>SUM(D3:D5)</f>
        <v>821</v>
      </c>
      <c r="E6" s="15">
        <f>SUM(E3:E5)</f>
        <v>886</v>
      </c>
      <c r="F6" s="15">
        <f>SUM(B6:E6)</f>
        <v>3259</v>
      </c>
      <c r="G6" s="16">
        <f>SUM(G3:G5)</f>
        <v>483900</v>
      </c>
    </row>
    <row r="7" spans="1:8">
      <c r="A7" s="1"/>
      <c r="B7" s="1"/>
      <c r="C7" s="1"/>
      <c r="D7" s="1"/>
      <c r="E7" s="1"/>
      <c r="F7" s="1"/>
      <c r="G7" s="5"/>
    </row>
    <row r="8" spans="1:8">
      <c r="F8" t="s">
        <v>17</v>
      </c>
      <c r="G8" s="6">
        <f>F3*Small+F4*Medium+F5*Large</f>
        <v>483900</v>
      </c>
    </row>
    <row r="9" spans="1:8">
      <c r="B9" t="s">
        <v>7</v>
      </c>
    </row>
    <row r="10" spans="1:8">
      <c r="A10" t="s">
        <v>8</v>
      </c>
      <c r="B10">
        <v>100</v>
      </c>
    </row>
    <row r="11" spans="1:8">
      <c r="A11" t="s">
        <v>9</v>
      </c>
      <c r="B11">
        <v>200</v>
      </c>
    </row>
    <row r="12" spans="1:8">
      <c r="A12" t="s">
        <v>10</v>
      </c>
      <c r="B12">
        <v>300</v>
      </c>
    </row>
  </sheetData>
  <mergeCells count="1">
    <mergeCell ref="A1:H1"/>
  </mergeCells>
  <phoneticPr fontId="0" type="noConversion"/>
  <printOptions horizontalCentered="1" verticalCentered="1" gridLines="1"/>
  <pageMargins left="0.55118110236220474" right="0.55118110236220474" top="0.98425196850393704" bottom="0.98425196850393704" header="0.51181102362204722" footer="0.51181102362204722"/>
  <pageSetup paperSize="9" scale="96" orientation="landscape" r:id="rId1"/>
  <headerFooter alignWithMargins="0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H18"/>
  <sheetViews>
    <sheetView workbookViewId="0">
      <selection sqref="A1:H1"/>
    </sheetView>
  </sheetViews>
  <sheetFormatPr defaultRowHeight="12.75"/>
  <cols>
    <col min="1" max="1" width="10.85546875" bestFit="1" customWidth="1"/>
    <col min="2" max="2" width="11.28515625" bestFit="1" customWidth="1"/>
  </cols>
  <sheetData>
    <row r="1" spans="1:8" ht="15.75">
      <c r="A1" s="18" t="s">
        <v>12</v>
      </c>
      <c r="B1" s="18"/>
      <c r="C1" s="18"/>
      <c r="D1" s="18"/>
      <c r="E1" s="18"/>
      <c r="F1" s="18"/>
      <c r="G1" s="18"/>
      <c r="H1" s="18"/>
    </row>
    <row r="2" spans="1:8" hidden="1">
      <c r="B2" t="s">
        <v>13</v>
      </c>
      <c r="C2">
        <v>1</v>
      </c>
      <c r="D2" t="s">
        <v>14</v>
      </c>
    </row>
    <row r="3" spans="1:8" hidden="1">
      <c r="B3" t="s">
        <v>15</v>
      </c>
      <c r="C3">
        <v>2</v>
      </c>
      <c r="D3" t="s">
        <v>14</v>
      </c>
    </row>
    <row r="5" spans="1:8" ht="38.25">
      <c r="A5" s="2" t="s">
        <v>16</v>
      </c>
      <c r="B5" s="3"/>
      <c r="C5" s="19" t="s">
        <v>13</v>
      </c>
      <c r="D5" s="19"/>
      <c r="E5" s="19"/>
      <c r="F5" s="19"/>
      <c r="G5" s="19"/>
      <c r="H5" s="19"/>
    </row>
    <row r="6" spans="1:8">
      <c r="A6" s="3"/>
      <c r="B6">
        <f>3.142*Radius*Radius*Height</f>
        <v>6.2839999999999998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</row>
    <row r="7" spans="1:8">
      <c r="A7" s="20" t="s">
        <v>15</v>
      </c>
      <c r="B7" s="4">
        <v>1</v>
      </c>
      <c r="C7" s="8">
        <f t="dataTable" ref="C7:H12" dt2D="1" dtr="0" r1="C2" r2="C3"/>
        <v>3.1419999999999999</v>
      </c>
      <c r="D7" s="8">
        <v>12.568</v>
      </c>
      <c r="E7" s="8">
        <v>28.277999999999999</v>
      </c>
      <c r="F7" s="8">
        <v>50.271999999999998</v>
      </c>
      <c r="G7" s="8">
        <v>78.55</v>
      </c>
      <c r="H7" s="8">
        <v>113.11199999999999</v>
      </c>
    </row>
    <row r="8" spans="1:8">
      <c r="A8" s="20"/>
      <c r="B8" s="4">
        <v>2</v>
      </c>
      <c r="C8" s="8">
        <v>6.2839999999999998</v>
      </c>
      <c r="D8" s="8">
        <v>25.135999999999999</v>
      </c>
      <c r="E8" s="8">
        <v>56.555999999999997</v>
      </c>
      <c r="F8" s="8">
        <v>100.544</v>
      </c>
      <c r="G8" s="8">
        <v>157.1</v>
      </c>
      <c r="H8" s="8">
        <v>226.22399999999999</v>
      </c>
    </row>
    <row r="9" spans="1:8">
      <c r="A9" s="20"/>
      <c r="B9" s="4">
        <v>3</v>
      </c>
      <c r="C9" s="8">
        <v>9.4260000000000002</v>
      </c>
      <c r="D9" s="8">
        <v>37.704000000000001</v>
      </c>
      <c r="E9" s="8">
        <v>84.834000000000003</v>
      </c>
      <c r="F9" s="8">
        <v>150.816</v>
      </c>
      <c r="G9" s="8">
        <v>235.64999999999998</v>
      </c>
      <c r="H9" s="8">
        <v>339.33600000000001</v>
      </c>
    </row>
    <row r="10" spans="1:8">
      <c r="A10" s="20"/>
      <c r="B10" s="4">
        <v>4</v>
      </c>
      <c r="C10" s="8">
        <v>12.568</v>
      </c>
      <c r="D10" s="8">
        <v>50.271999999999998</v>
      </c>
      <c r="E10" s="8">
        <v>113.11199999999999</v>
      </c>
      <c r="F10" s="8">
        <v>201.08799999999999</v>
      </c>
      <c r="G10" s="8">
        <v>314.2</v>
      </c>
      <c r="H10" s="8">
        <v>452.44799999999998</v>
      </c>
    </row>
    <row r="11" spans="1:8">
      <c r="A11" s="20"/>
      <c r="B11" s="4">
        <v>5</v>
      </c>
      <c r="C11" s="8">
        <v>15.709999999999999</v>
      </c>
      <c r="D11" s="8">
        <v>62.839999999999996</v>
      </c>
      <c r="E11" s="8">
        <v>141.38999999999999</v>
      </c>
      <c r="F11" s="8">
        <v>251.35999999999999</v>
      </c>
      <c r="G11" s="8">
        <v>392.75</v>
      </c>
      <c r="H11" s="8">
        <v>565.55999999999995</v>
      </c>
    </row>
    <row r="12" spans="1:8">
      <c r="A12" s="20"/>
      <c r="B12" s="4">
        <v>6</v>
      </c>
      <c r="C12" s="8">
        <v>18.852</v>
      </c>
      <c r="D12" s="8">
        <v>75.408000000000001</v>
      </c>
      <c r="E12" s="8">
        <v>169.66800000000001</v>
      </c>
      <c r="F12" s="8">
        <v>301.63200000000001</v>
      </c>
      <c r="G12" s="8">
        <v>471.29999999999995</v>
      </c>
      <c r="H12" s="8">
        <v>678.67200000000003</v>
      </c>
    </row>
    <row r="18" spans="4:4">
      <c r="D18" s="7"/>
    </row>
  </sheetData>
  <mergeCells count="3">
    <mergeCell ref="A1:H1"/>
    <mergeCell ref="C5:H5"/>
    <mergeCell ref="A7:A12"/>
  </mergeCells>
  <phoneticPr fontId="0" type="noConversion"/>
  <conditionalFormatting sqref="C7:H12">
    <cfRule type="cellIs" dxfId="1" priority="1" stopIfTrue="1" operator="greaterThan">
      <formula>100</formula>
    </cfRule>
    <cfRule type="cellIs" dxfId="0" priority="2" stopIfTrue="1" operator="lessThan">
      <formula>15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Results</vt:lpstr>
      <vt:lpstr>Calculator</vt:lpstr>
      <vt:lpstr>Height</vt:lpstr>
      <vt:lpstr>Large</vt:lpstr>
      <vt:lpstr>Medium</vt:lpstr>
      <vt:lpstr>Radius</vt:lpstr>
      <vt:lpstr>Small</vt:lpstr>
    </vt:vector>
  </TitlesOfParts>
  <Company>CiA Training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Browell</dc:creator>
  <cp:lastModifiedBy>Jean Waldram</cp:lastModifiedBy>
  <cp:lastPrinted>2009-06-16T18:11:12Z</cp:lastPrinted>
  <dcterms:created xsi:type="dcterms:W3CDTF">2004-02-04T11:28:14Z</dcterms:created>
  <dcterms:modified xsi:type="dcterms:W3CDTF">2009-06-19T13:57:16Z</dcterms:modified>
</cp:coreProperties>
</file>